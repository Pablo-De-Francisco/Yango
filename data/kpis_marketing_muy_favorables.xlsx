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ciones" sheetId="1" state="visible" r:id="rId1"/>
    <sheet xmlns:r="http://schemas.openxmlformats.org/officeDocument/2006/relationships" name="datos_crudos" sheetId="2" state="visible" r:id="rId2"/>
    <sheet xmlns:r="http://schemas.openxmlformats.org/officeDocument/2006/relationships" name="kpis" sheetId="3" state="visible" r:id="rId3"/>
    <sheet xmlns:r="http://schemas.openxmlformats.org/officeDocument/2006/relationships" name="diccionario" sheetId="4" state="visible" r:id="rId4"/>
    <sheet xmlns:r="http://schemas.openxmlformats.org/officeDocument/2006/relationships" name="presupuesto" sheetId="5" state="visible" r:id="rId5"/>
    <sheet xmlns:r="http://schemas.openxmlformats.org/officeDocument/2006/relationships" name="log_ia" sheetId="6" state="visible" r:id="rId6"/>
  </sheets>
  <definedNames/>
  <calcPr calcId="171027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&quot;$&quot;#,##0"/>
    <numFmt numFmtId="166" formatCode="0.00&quot;x&quot;"/>
    <numFmt numFmtId="167" formatCode="&quot;$&quot;#,##0.00"/>
  </numFmts>
  <fonts count="6">
    <font>
      <name val="Calibri"/>
      <family val="2"/>
      <color theme="1"/>
      <sz val="11"/>
      <scheme val="minor"/>
    </font>
    <font>
      <b val="1"/>
      <color rgb="FFFF0000"/>
      <sz val="14"/>
    </font>
    <font>
      <b val="1"/>
    </font>
    <font>
      <b val="1"/>
      <color rgb="FFFFFFFF"/>
    </font>
    <font>
      <i val="1"/>
      <color rgb="FF666666"/>
    </font>
    <font>
      <b val="1"/>
      <color rgb="00006100"/>
    </font>
  </fonts>
  <fills count="4">
    <fill>
      <patternFill/>
    </fill>
    <fill>
      <patternFill patternType="gray125"/>
    </fill>
    <fill>
      <patternFill patternType="solid">
        <fgColor rgb="FFFF0000"/>
      </patternFill>
    </fill>
    <fill>
      <patternFill patternType="solid">
        <fgColor rgb="FFFDEC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3" fontId="0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4" fontId="3" fillId="2" borderId="0" applyAlignment="1" pivotButton="0" quotePrefix="0" xfId="0">
      <alignment horizontal="center" vertical="center" wrapText="1"/>
    </xf>
    <xf numFmtId="165" fontId="3" fillId="2" borderId="0" applyAlignment="1" pivotButton="0" quotePrefix="0" xfId="0">
      <alignment horizontal="center" vertical="center" wrapText="1"/>
    </xf>
    <xf numFmtId="3" fontId="3" fillId="2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pivotButton="0" quotePrefix="0" xfId="0"/>
    <xf numFmtId="0" fontId="3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0" fontId="0" fillId="0" borderId="0" pivotButton="0" quotePrefix="0" xfId="0"/>
    <xf numFmtId="0" fontId="2" fillId="3" borderId="0" pivotButton="0" quotePrefix="0" xfId="0"/>
    <xf numFmtId="165" fontId="2" fillId="3" borderId="0" pivotButton="0" quotePrefix="0" xfId="0"/>
    <xf numFmtId="3" fontId="2" fillId="3" borderId="0" pivotButton="0" quotePrefix="0" xfId="0"/>
    <xf numFmtId="166" fontId="2" fillId="3" borderId="0" pivotButton="0" quotePrefix="0" xfId="0"/>
    <xf numFmtId="167" fontId="2" fillId="3" borderId="0" pivotButton="0" quotePrefix="0" xfId="0"/>
    <xf numFmtId="10" fontId="2" fillId="3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tabColor rgb="FF666666"/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 outlineLevelRow="0"/>
  <cols>
    <col width="110" customWidth="1" min="1" max="1"/>
  </cols>
  <sheetData>
    <row r="1" customFormat="1" s="1">
      <c r="A1" s="1" t="inlineStr">
        <is>
          <t>COPILOTO DE MARKETING IA · YANGO — Excel fuente del prototipo</t>
        </is>
      </c>
    </row>
    <row r="2" ht="30" customHeight="1">
      <c r="A2" s="24" t="inlineStr">
        <is>
          <t>ESCENARIO ILUSTRATIVO: Escenario muy favorable. Métricas simuladas para análisis académico; no son resultados reales.</t>
        </is>
      </c>
    </row>
    <row r="3">
      <c r="A3" t="inlineStr">
        <is>
          <t>Este archivo es la ÚNICA fuente de datos del prototipo. El prototipo lee las pestañas por su nombre y las columnas por su encabezado.</t>
        </is>
      </c>
    </row>
    <row r="4" customFormat="1" s="2">
      <c r="A4" t="inlineStr"/>
    </row>
    <row r="5">
      <c r="A5" s="2" t="inlineStr">
        <is>
          <t>CÓMO ACTUALIZARLO</t>
        </is>
      </c>
    </row>
    <row r="6">
      <c r="A6" t="inlineStr">
        <is>
          <t>1. datos_crudos: agrega una fila por canal y semana (Semana, Fecha inicio, Canal, Inversión, Impresiones, Clics, Conversiones, Ingresos atribuidos).</t>
        </is>
      </c>
    </row>
    <row r="7">
      <c r="A7" t="inlineStr">
        <is>
          <t xml:space="preserve">   Puedes agregar canales nuevos (p. ej. "TikTok Ads") o semanas nuevas: el prototipo toma por defecto la semana más reciente.</t>
        </is>
      </c>
    </row>
    <row r="8">
      <c r="A8" t="inlineStr">
        <is>
          <t>2. diccionario: define cada KPI (definición única, fórmula, dueño y meta). El asistente responde las definiciones desde aquí.</t>
        </is>
      </c>
    </row>
    <row r="9">
      <c r="A9" t="inlineStr">
        <is>
          <t>3. presupuesto: presupuesto planificado por mes (AAAA-MM) y canal. Se usa para el plan vs. real del briefing.</t>
        </is>
      </c>
    </row>
    <row r="10">
      <c r="A10" t="inlineStr">
        <is>
          <t>4. kpis: vista de control con fórmulas para la semana de la celda B1 (solo para personas; el prototipo recalcula todo desde datos_crudos).</t>
        </is>
      </c>
    </row>
    <row r="11">
      <c r="A11" t="inlineStr">
        <is>
          <t>5. log_ia: el prototipo permite descargar el registro de briefings y preguntas; puedes pegarlo aquí para auditar calidad y adopción.</t>
        </is>
      </c>
    </row>
    <row r="12" customFormat="1" s="2">
      <c r="A12" t="inlineStr"/>
    </row>
    <row r="13">
      <c r="A13" s="2" t="inlineStr">
        <is>
          <t>CÓMO VERLO EN EL PROTOTIPO</t>
        </is>
      </c>
    </row>
    <row r="14">
      <c r="A14" t="inlineStr">
        <is>
          <t>Opción A (inmediata): en el prototipo pulsa "Cargar mi Excel" y elige este archivo editado. Todo se recalcula al instante en tu navegador.</t>
        </is>
      </c>
    </row>
    <row r="15">
      <c r="A15" t="inlineStr">
        <is>
          <t>Opción B (para todo el equipo): reemplaza el archivo data/kpis_marketing.xlsx en el repositorio de GitHub; Vercel vuelve a publicar el sitio con los nuevos datos.</t>
        </is>
      </c>
    </row>
    <row r="16" customFormat="1" s="2">
      <c r="A16" t="inlineStr"/>
    </row>
    <row r="17">
      <c r="A17" s="2" t="inlineStr">
        <is>
          <t>REGLAS</t>
        </is>
      </c>
    </row>
    <row r="18">
      <c r="A18" t="inlineStr">
        <is>
          <t>• Cero datos personales: solo cifras agregadas por canal (sin nombres, correos ni teléfonos de clientes).</t>
        </is>
      </c>
    </row>
    <row r="19">
      <c r="A19" t="inlineStr">
        <is>
          <t>• No cambies los nombres de las pestañas ni de los encabezados. Los montos van en USD, sin símbolos.</t>
        </is>
      </c>
    </row>
    <row r="20">
      <c r="A20" t="inlineStr">
        <is>
          <t>• Datos ilustrativos para el prototipo académico (Innovación Tech III).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tabColor rgb="FFFF0000"/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0" customWidth="1" min="1" max="1"/>
    <col width="14" customWidth="1" style="3" min="2" max="2"/>
    <col width="16" customWidth="1" min="3" max="3"/>
    <col width="16" customWidth="1" style="4" min="4" max="4"/>
    <col width="14" customWidth="1" style="5" min="5" max="5"/>
    <col width="12" customWidth="1" style="5" min="6" max="6"/>
    <col width="14" customWidth="1" style="5" min="7" max="7"/>
    <col width="22" customWidth="1" style="4" min="8" max="8"/>
  </cols>
  <sheetData>
    <row r="1" ht="22" customFormat="1" customHeight="1" s="6">
      <c r="A1" s="6" t="inlineStr">
        <is>
          <t>Semana</t>
        </is>
      </c>
      <c r="B1" s="7" t="inlineStr">
        <is>
          <t>Fecha inicio</t>
        </is>
      </c>
      <c r="C1" s="6" t="inlineStr">
        <is>
          <t>Canal</t>
        </is>
      </c>
      <c r="D1" s="8" t="inlineStr">
        <is>
          <t>Inversión (USD)</t>
        </is>
      </c>
      <c r="E1" s="9" t="inlineStr">
        <is>
          <t>Impresiones</t>
        </is>
      </c>
      <c r="F1" s="9" t="inlineStr">
        <is>
          <t>Clics</t>
        </is>
      </c>
      <c r="G1" s="9" t="inlineStr">
        <is>
          <t>Conversiones</t>
        </is>
      </c>
      <c r="H1" s="8" t="inlineStr">
        <is>
          <t>Ingresos atribuidos (USD)</t>
        </is>
      </c>
    </row>
    <row r="2">
      <c r="A2" t="n">
        <v>39</v>
      </c>
      <c r="B2" s="3" t="n">
        <v>46286</v>
      </c>
      <c r="C2" t="inlineStr">
        <is>
          <t>Google Ads</t>
        </is>
      </c>
      <c r="D2" s="4" t="n">
        <v>165000</v>
      </c>
      <c r="E2" s="5" t="n">
        <v>2250000</v>
      </c>
      <c r="F2" s="5" t="n">
        <v>80719</v>
      </c>
      <c r="G2" s="5" t="n">
        <v>33825</v>
      </c>
      <c r="H2" s="4" t="n">
        <v>761062</v>
      </c>
    </row>
    <row r="3">
      <c r="A3" t="n">
        <v>39</v>
      </c>
      <c r="B3" s="3" t="n">
        <v>46286</v>
      </c>
      <c r="C3" t="inlineStr">
        <is>
          <t>Meta Ads</t>
        </is>
      </c>
      <c r="D3" s="4" t="n">
        <v>128000</v>
      </c>
      <c r="E3" s="5" t="n">
        <v>2850000</v>
      </c>
      <c r="F3" s="5" t="n">
        <v>97256</v>
      </c>
      <c r="G3" s="5" t="n">
        <v>24960</v>
      </c>
      <c r="H3" s="4" t="n">
        <v>561600</v>
      </c>
    </row>
    <row r="4">
      <c r="A4" t="n">
        <v>39</v>
      </c>
      <c r="B4" s="3" t="n">
        <v>46286</v>
      </c>
      <c r="C4" t="inlineStr">
        <is>
          <t>Yango Ads</t>
        </is>
      </c>
      <c r="D4" s="4" t="n">
        <v>82000</v>
      </c>
      <c r="E4" s="5" t="n">
        <v>1380000</v>
      </c>
      <c r="F4" s="5" t="n">
        <v>48300</v>
      </c>
      <c r="G4" s="5" t="n">
        <v>16400</v>
      </c>
      <c r="H4" s="4" t="n">
        <v>369000</v>
      </c>
    </row>
    <row r="5">
      <c r="A5" t="n">
        <v>40</v>
      </c>
      <c r="B5" s="3" t="n">
        <v>46293</v>
      </c>
      <c r="C5" t="inlineStr">
        <is>
          <t>Google Ads</t>
        </is>
      </c>
      <c r="D5" s="4" t="n">
        <v>170000</v>
      </c>
      <c r="E5" s="5" t="n">
        <v>2300000</v>
      </c>
      <c r="F5" s="5" t="n">
        <v>82513</v>
      </c>
      <c r="G5" s="5" t="n">
        <v>34850</v>
      </c>
      <c r="H5" s="4" t="n">
        <v>784125</v>
      </c>
    </row>
    <row r="6">
      <c r="A6" t="n">
        <v>40</v>
      </c>
      <c r="B6" s="3" t="n">
        <v>46293</v>
      </c>
      <c r="C6" t="inlineStr">
        <is>
          <t>Meta Ads</t>
        </is>
      </c>
      <c r="D6" s="4" t="n">
        <v>130000</v>
      </c>
      <c r="E6" s="5" t="n">
        <v>2900000</v>
      </c>
      <c r="F6" s="5" t="n">
        <v>98963</v>
      </c>
      <c r="G6" s="5" t="n">
        <v>25350</v>
      </c>
      <c r="H6" s="4" t="n">
        <v>570375</v>
      </c>
    </row>
    <row r="7">
      <c r="A7" t="n">
        <v>40</v>
      </c>
      <c r="B7" s="3" t="n">
        <v>46293</v>
      </c>
      <c r="C7" t="inlineStr">
        <is>
          <t>Yango Ads</t>
        </is>
      </c>
      <c r="D7" s="4" t="n">
        <v>85000</v>
      </c>
      <c r="E7" s="5" t="n">
        <v>1420000</v>
      </c>
      <c r="F7" s="5" t="n">
        <v>49700</v>
      </c>
      <c r="G7" s="5" t="n">
        <v>17000</v>
      </c>
      <c r="H7" s="4" t="n">
        <v>382500</v>
      </c>
    </row>
    <row r="8">
      <c r="A8" t="n">
        <v>41</v>
      </c>
      <c r="B8" s="3" t="n">
        <v>46300</v>
      </c>
      <c r="C8" t="inlineStr">
        <is>
          <t>Google Ads</t>
        </is>
      </c>
      <c r="D8" s="4" t="n">
        <v>175000</v>
      </c>
      <c r="E8" s="5" t="n">
        <v>2350000</v>
      </c>
      <c r="F8" s="5" t="n">
        <v>84306</v>
      </c>
      <c r="G8" s="5" t="n">
        <v>35875</v>
      </c>
      <c r="H8" s="4" t="n">
        <v>807187</v>
      </c>
    </row>
    <row r="9">
      <c r="A9" t="n">
        <v>41</v>
      </c>
      <c r="B9" s="3" t="n">
        <v>46300</v>
      </c>
      <c r="C9" t="inlineStr">
        <is>
          <t>Meta Ads</t>
        </is>
      </c>
      <c r="D9" s="4" t="n">
        <v>135000</v>
      </c>
      <c r="E9" s="5" t="n">
        <v>2950000</v>
      </c>
      <c r="F9" s="5" t="n">
        <v>100669</v>
      </c>
      <c r="G9" s="5" t="n">
        <v>26325</v>
      </c>
      <c r="H9" s="4" t="n">
        <v>592312</v>
      </c>
    </row>
    <row r="10">
      <c r="A10" t="n">
        <v>41</v>
      </c>
      <c r="B10" s="3" t="n">
        <v>46300</v>
      </c>
      <c r="C10" t="inlineStr">
        <is>
          <t>Yango Ads</t>
        </is>
      </c>
      <c r="D10" s="4" t="n">
        <v>88000</v>
      </c>
      <c r="E10" s="5" t="n">
        <v>1480000</v>
      </c>
      <c r="F10" s="5" t="n">
        <v>51800</v>
      </c>
      <c r="G10" s="5" t="n">
        <v>17600</v>
      </c>
      <c r="H10" s="4" t="n">
        <v>396000</v>
      </c>
    </row>
    <row r="11">
      <c r="A11" t="n">
        <v>42</v>
      </c>
      <c r="B11" s="3" t="n">
        <v>46307</v>
      </c>
      <c r="C11" t="inlineStr">
        <is>
          <t>Google Ads</t>
        </is>
      </c>
      <c r="D11" s="4" t="n">
        <v>180000</v>
      </c>
      <c r="E11" s="5" t="n">
        <v>2400000</v>
      </c>
      <c r="F11" s="5" t="n">
        <v>86100</v>
      </c>
      <c r="G11" s="5" t="n">
        <v>36900</v>
      </c>
      <c r="H11" s="4" t="n">
        <v>830250</v>
      </c>
    </row>
    <row r="12">
      <c r="A12" t="n">
        <v>42</v>
      </c>
      <c r="B12" s="3" t="n">
        <v>46307</v>
      </c>
      <c r="C12" t="inlineStr">
        <is>
          <t>Meta Ads</t>
        </is>
      </c>
      <c r="D12" s="4" t="n">
        <v>142000</v>
      </c>
      <c r="E12" s="5" t="n">
        <v>3100000</v>
      </c>
      <c r="F12" s="5" t="n">
        <v>105788</v>
      </c>
      <c r="G12" s="5" t="n">
        <v>27690</v>
      </c>
      <c r="H12" s="4" t="n">
        <v>623025</v>
      </c>
    </row>
    <row r="13">
      <c r="A13" t="n">
        <v>42</v>
      </c>
      <c r="B13" s="3" t="n">
        <v>46307</v>
      </c>
      <c r="C13" t="inlineStr">
        <is>
          <t>Yango Ads</t>
        </is>
      </c>
      <c r="D13" s="4" t="n">
        <v>90000</v>
      </c>
      <c r="E13" s="5" t="n">
        <v>1500000</v>
      </c>
      <c r="F13" s="5" t="n">
        <v>52500</v>
      </c>
      <c r="G13" s="5" t="n">
        <v>18000</v>
      </c>
      <c r="H13" s="4" t="n">
        <v>405000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 outlineLevelRow="0"/>
  <cols>
    <col width="18" customWidth="1" min="1" max="1"/>
    <col width="16" customWidth="1" min="2" max="2"/>
    <col width="14" customWidth="1" min="3" max="3"/>
    <col width="16" customWidth="1" min="4" max="4"/>
    <col width="10" customWidth="1" min="5" max="5"/>
    <col width="12" customWidth="1" min="6" max="6"/>
    <col width="10" customWidth="1" min="7" max="7"/>
  </cols>
  <sheetData>
    <row r="1">
      <c r="A1" s="2" t="inlineStr">
        <is>
          <t>Semana</t>
        </is>
      </c>
      <c r="B1">
        <f>MAX(datos_crudos!A:A)</f>
        <v/>
      </c>
      <c r="C1" s="10" t="inlineStr">
        <is>
          <t>← cambia este número para ver otra semana (o deja la fórmula para la más reciente)</t>
        </is>
      </c>
    </row>
    <row r="3" customFormat="1" s="11">
      <c r="A3" s="12" t="inlineStr">
        <is>
          <t>Canal</t>
        </is>
      </c>
      <c r="B3" s="12" t="inlineStr">
        <is>
          <t>Inversión (USD)</t>
        </is>
      </c>
      <c r="C3" s="12" t="inlineStr">
        <is>
          <t>Conversiones</t>
        </is>
      </c>
      <c r="D3" s="12" t="inlineStr">
        <is>
          <t>Ingresos (USD)</t>
        </is>
      </c>
      <c r="E3" s="12" t="inlineStr">
        <is>
          <t>ROAS</t>
        </is>
      </c>
      <c r="F3" s="12" t="inlineStr">
        <is>
          <t>CPA (USD)</t>
        </is>
      </c>
      <c r="G3" s="12" t="inlineStr">
        <is>
          <t>CTR</t>
        </is>
      </c>
    </row>
    <row r="4">
      <c r="A4" t="inlineStr">
        <is>
          <t>Google Ads</t>
        </is>
      </c>
      <c r="B4" s="4">
        <f>SUMIFS(datos_crudos!D:D,datos_crudos!$A:$A,$B$1,datos_crudos!$C:$C,$A4)</f>
        <v/>
      </c>
      <c r="C4" s="5">
        <f>SUMIFS(datos_crudos!G:G,datos_crudos!$A:$A,$B$1,datos_crudos!$C:$C,$A4)</f>
        <v/>
      </c>
      <c r="D4" s="4">
        <f>SUMIFS(datos_crudos!H:H,datos_crudos!$A:$A,$B$1,datos_crudos!$C:$C,$A4)</f>
        <v/>
      </c>
      <c r="E4" s="13">
        <f>IFERROR(D4/B4,0)</f>
        <v/>
      </c>
      <c r="F4" s="14">
        <f>IFERROR(B4/C4,0)</f>
        <v/>
      </c>
      <c r="G4" s="15">
        <f>IFERROR(SUMIFS(datos_crudos!F:F,datos_crudos!$A:$A,$B$1,datos_crudos!$C:$C,$A4)/SUMIFS(datos_crudos!E:E,datos_crudos!$A:$A,$B$1,datos_crudos!$C:$C,$A4),0)</f>
        <v/>
      </c>
    </row>
    <row r="5">
      <c r="A5" t="inlineStr">
        <is>
          <t>Meta Ads</t>
        </is>
      </c>
      <c r="B5" s="4">
        <f>SUMIFS(datos_crudos!D:D,datos_crudos!$A:$A,$B$1,datos_crudos!$C:$C,$A5)</f>
        <v/>
      </c>
      <c r="C5" s="5">
        <f>SUMIFS(datos_crudos!G:G,datos_crudos!$A:$A,$B$1,datos_crudos!$C:$C,$A5)</f>
        <v/>
      </c>
      <c r="D5" s="4">
        <f>SUMIFS(datos_crudos!H:H,datos_crudos!$A:$A,$B$1,datos_crudos!$C:$C,$A5)</f>
        <v/>
      </c>
      <c r="E5" s="13">
        <f>IFERROR(D5/B5,0)</f>
        <v/>
      </c>
      <c r="F5" s="14">
        <f>IFERROR(B5/C5,0)</f>
        <v/>
      </c>
      <c r="G5" s="15">
        <f>IFERROR(SUMIFS(datos_crudos!F:F,datos_crudos!$A:$A,$B$1,datos_crudos!$C:$C,$A5)/SUMIFS(datos_crudos!E:E,datos_crudos!$A:$A,$B$1,datos_crudos!$C:$C,$A5),0)</f>
        <v/>
      </c>
    </row>
    <row r="6">
      <c r="A6" t="inlineStr">
        <is>
          <t>Yango Ads</t>
        </is>
      </c>
      <c r="B6" s="4">
        <f>SUMIFS(datos_crudos!D:D,datos_crudos!$A:$A,$B$1,datos_crudos!$C:$C,$A6)</f>
        <v/>
      </c>
      <c r="C6" s="5">
        <f>SUMIFS(datos_crudos!G:G,datos_crudos!$A:$A,$B$1,datos_crudos!$C:$C,$A6)</f>
        <v/>
      </c>
      <c r="D6" s="4">
        <f>SUMIFS(datos_crudos!H:H,datos_crudos!$A:$A,$B$1,datos_crudos!$C:$C,$A6)</f>
        <v/>
      </c>
      <c r="E6" s="13">
        <f>IFERROR(D6/B6,0)</f>
        <v/>
      </c>
      <c r="F6" s="14">
        <f>IFERROR(B6/C6,0)</f>
        <v/>
      </c>
      <c r="G6" s="15">
        <f>IFERROR(SUMIFS(datos_crudos!F:F,datos_crudos!$A:$A,$B$1,datos_crudos!$C:$C,$A6)/SUMIFS(datos_crudos!E:E,datos_crudos!$A:$A,$B$1,datos_crudos!$C:$C,$A6),0)</f>
        <v/>
      </c>
    </row>
    <row r="7" customFormat="1" s="2">
      <c r="A7" s="16" t="inlineStr">
        <is>
          <t>Total</t>
        </is>
      </c>
      <c r="B7" s="17">
        <f>SUM(B4:B6)</f>
        <v/>
      </c>
      <c r="C7" s="18">
        <f>SUM(C4:C6)</f>
        <v/>
      </c>
      <c r="D7" s="17">
        <f>SUM(D4:D6)</f>
        <v/>
      </c>
      <c r="E7" s="19">
        <f>IFERROR(D7/B7,0)</f>
        <v/>
      </c>
      <c r="F7" s="20">
        <f>IFERROR(B7/C7,0)</f>
        <v/>
      </c>
      <c r="G7" s="21">
        <f>IFERROR(SUMIFS(datos_crudos!F:F,datos_crudos!A:A,B1)/SUMIFS(datos_crudos!E:E,datos_crudos!A:A,B1),0)</f>
        <v/>
      </c>
    </row>
    <row r="9">
      <c r="A9" s="10" t="inlineStr">
        <is>
          <t>Vista de control para personas. Si agregas un canal nuevo, añade una fila aquí; el prototipo lo detecta solo desde datos_crudos.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/>
  </sheetPr>
  <dimension ref="A1:E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8" customWidth="1" min="1" max="1"/>
    <col width="50" customWidth="1" min="2" max="2"/>
    <col width="34" customWidth="1" min="3" max="3"/>
    <col width="16" customWidth="1" min="4" max="4"/>
    <col width="14" customWidth="1" min="5" max="5"/>
  </cols>
  <sheetData>
    <row r="1" ht="22" customFormat="1" customHeight="1" s="22">
      <c r="A1" s="22" t="inlineStr">
        <is>
          <t>KPI</t>
        </is>
      </c>
      <c r="B1" s="22" t="inlineStr">
        <is>
          <t>Definición única</t>
        </is>
      </c>
      <c r="C1" s="22" t="inlineStr">
        <is>
          <t>Fórmula</t>
        </is>
      </c>
      <c r="D1" s="22" t="inlineStr">
        <is>
          <t>Dueño</t>
        </is>
      </c>
      <c r="E1" s="22" t="inlineStr">
        <is>
          <t>Meta</t>
        </is>
      </c>
    </row>
    <row r="2" customFormat="1" s="23">
      <c r="A2" s="23" t="inlineStr">
        <is>
          <t>ROAS</t>
        </is>
      </c>
      <c r="B2" s="23" t="inlineStr">
        <is>
          <t>Retorno de la inversión publicitaria: ingresos atribuidos por cada dólar invertido.</t>
        </is>
      </c>
      <c r="C2" s="23" t="inlineStr">
        <is>
          <t>Ingresos atribuidos ÷ inversión</t>
        </is>
      </c>
      <c r="D2" s="23" t="inlineStr">
        <is>
          <t>Performance</t>
        </is>
      </c>
      <c r="E2" s="23" t="inlineStr">
        <is>
          <t>≥ 3,0x</t>
        </is>
      </c>
    </row>
    <row r="3" customFormat="1" s="23">
      <c r="A3" s="23" t="inlineStr">
        <is>
          <t>CPA</t>
        </is>
      </c>
      <c r="B3" s="23" t="inlineStr">
        <is>
          <t>Costo por adquisición: cuánto cuesta cada conversión.</t>
        </is>
      </c>
      <c r="C3" s="23" t="inlineStr">
        <is>
          <t>Inversión ÷ conversiones</t>
        </is>
      </c>
      <c r="D3" s="23" t="inlineStr">
        <is>
          <t>Performance</t>
        </is>
      </c>
      <c r="E3" s="23" t="inlineStr">
        <is>
          <t>≤ $8</t>
        </is>
      </c>
    </row>
    <row r="4" customFormat="1" s="23">
      <c r="A4" s="23" t="inlineStr">
        <is>
          <t>Conversión</t>
        </is>
      </c>
      <c r="B4" s="23" t="inlineStr">
        <is>
          <t>Pedido o viaje completado atribuido a una campaña.</t>
        </is>
      </c>
      <c r="C4" s="23" t="inlineStr">
        <is>
          <t>Conteo de pedidos o viajes completados</t>
        </is>
      </c>
      <c r="D4" s="23" t="inlineStr">
        <is>
          <t>Analista</t>
        </is>
      </c>
      <c r="E4" s="23" t="inlineStr">
        <is>
          <t>—</t>
        </is>
      </c>
    </row>
    <row r="5" customFormat="1" s="23">
      <c r="A5" s="23" t="inlineStr">
        <is>
          <t>CTR</t>
        </is>
      </c>
      <c r="B5" s="23" t="inlineStr">
        <is>
          <t>Porcentaje de impresiones que generan un clic.</t>
        </is>
      </c>
      <c r="C5" s="23" t="inlineStr">
        <is>
          <t>Clics ÷ impresiones</t>
        </is>
      </c>
      <c r="D5" s="23" t="inlineStr">
        <is>
          <t>Performance</t>
        </is>
      </c>
      <c r="E5" s="23" t="inlineStr">
        <is>
          <t>≥ 2,5%</t>
        </is>
      </c>
    </row>
    <row r="6" customFormat="1" s="23">
      <c r="A6" s="23" t="inlineStr">
        <is>
          <t>Inversión</t>
        </is>
      </c>
      <c r="B6" s="23" t="inlineStr">
        <is>
          <t>Gasto en medios pagado a la plataforma en la semana (USD, sin impuestos).</t>
        </is>
      </c>
      <c r="C6" s="23" t="inlineStr">
        <is>
          <t>Suma del gasto reportado por la plataforma</t>
        </is>
      </c>
      <c r="D6" s="23" t="inlineStr">
        <is>
          <t>Analista</t>
        </is>
      </c>
      <c r="E6" s="23" t="inlineStr">
        <is>
          <t>Según presupuesto</t>
        </is>
      </c>
    </row>
    <row r="7" customFormat="1" s="23">
      <c r="A7" s="23" t="inlineStr">
        <is>
          <t>Ingresos atribuidos</t>
        </is>
      </c>
      <c r="B7" s="23" t="inlineStr">
        <is>
          <t>Ingresos de los pedidos o viajes atribuidos a campañas según el modelo de la plataforma.</t>
        </is>
      </c>
      <c r="C7" s="23" t="inlineStr">
        <is>
          <t>Suma de ingresos atribuidos</t>
        </is>
      </c>
      <c r="D7" s="23" t="inlineStr">
        <is>
          <t>Analista</t>
        </is>
      </c>
      <c r="E7" s="23" t="inlineStr">
        <is>
          <t>—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5.xml><?xml version="1.0" encoding="utf-8"?>
<worksheet xmlns="http://schemas.openxmlformats.org/spreadsheetml/2006/main">
  <sheetPr>
    <tabColor rgb="FFFF0000"/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12" customWidth="1" min="1" max="1"/>
    <col width="16" customWidth="1" min="2" max="2"/>
    <col width="18" customWidth="1" style="4" min="3" max="3"/>
  </cols>
  <sheetData>
    <row r="1" ht="22" customFormat="1" customHeight="1" s="6">
      <c r="A1" s="6" t="inlineStr">
        <is>
          <t>Mes</t>
        </is>
      </c>
      <c r="B1" s="6" t="inlineStr">
        <is>
          <t>Canal</t>
        </is>
      </c>
      <c r="C1" s="8" t="inlineStr">
        <is>
          <t>Presupuesto (USD)</t>
        </is>
      </c>
    </row>
    <row r="2">
      <c r="A2" t="inlineStr">
        <is>
          <t>2026-09</t>
        </is>
      </c>
      <c r="B2" t="inlineStr">
        <is>
          <t>Google Ads</t>
        </is>
      </c>
      <c r="C2" s="4" t="n">
        <v>720000</v>
      </c>
    </row>
    <row r="3">
      <c r="A3" t="inlineStr">
        <is>
          <t>2026-09</t>
        </is>
      </c>
      <c r="B3" t="inlineStr">
        <is>
          <t>Meta Ads</t>
        </is>
      </c>
      <c r="C3" s="4" t="n">
        <v>560000</v>
      </c>
    </row>
    <row r="4">
      <c r="A4" t="inlineStr">
        <is>
          <t>2026-09</t>
        </is>
      </c>
      <c r="B4" t="inlineStr">
        <is>
          <t>Yango Ads</t>
        </is>
      </c>
      <c r="C4" s="4" t="n">
        <v>350000</v>
      </c>
    </row>
    <row r="5">
      <c r="A5" t="inlineStr">
        <is>
          <t>2026-10</t>
        </is>
      </c>
      <c r="B5" t="inlineStr">
        <is>
          <t>Google Ads</t>
        </is>
      </c>
      <c r="C5" s="4" t="n">
        <v>760000</v>
      </c>
    </row>
    <row r="6">
      <c r="A6" t="inlineStr">
        <is>
          <t>2026-10</t>
        </is>
      </c>
      <c r="B6" t="inlineStr">
        <is>
          <t>Meta Ads</t>
        </is>
      </c>
      <c r="C6" s="4" t="n">
        <v>600000</v>
      </c>
    </row>
    <row r="7">
      <c r="A7" t="inlineStr">
        <is>
          <t>2026-10</t>
        </is>
      </c>
      <c r="B7" t="inlineStr">
        <is>
          <t>Yango Ads</t>
        </is>
      </c>
      <c r="C7" s="4" t="n">
        <v>380000</v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xl/worksheets/sheet6.xml><?xml version="1.0" encoding="utf-8"?>
<worksheet xmlns="http://schemas.openxmlformats.org/spreadsheetml/2006/main">
  <sheetPr>
    <tabColor rgb="FF666666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Row="0"/>
  <cols>
    <col width="20" customWidth="1" min="1" max="1"/>
    <col width="12" customWidth="1" min="2" max="2"/>
    <col width="50" customWidth="1" min="4" max="4"/>
    <col width="60" customWidth="1" min="5" max="5"/>
    <col width="24" customWidth="1" min="6" max="6"/>
    <col width="18" customWidth="1" min="7" max="7"/>
    <col width="30" customWidth="1" min="8" max="8"/>
  </cols>
  <sheetData>
    <row r="1" ht="22" customFormat="1" customHeight="1" s="6">
      <c r="A1" s="6" t="inlineStr">
        <is>
          <t>Fecha</t>
        </is>
      </c>
      <c r="B1" s="6" t="inlineStr">
        <is>
          <t>Tipo</t>
        </is>
      </c>
      <c r="C1" s="6" t="inlineStr">
        <is>
          <t>Semana</t>
        </is>
      </c>
      <c r="D1" s="6" t="inlineStr">
        <is>
          <t>Pregunta / briefing</t>
        </is>
      </c>
      <c r="E1" s="6" t="inlineStr">
        <is>
          <t>Respuesta</t>
        </is>
      </c>
      <c r="F1" s="6" t="inlineStr">
        <is>
          <t>Fuente</t>
        </is>
      </c>
      <c r="G1" s="6" t="inlineStr">
        <is>
          <t>Revisado por</t>
        </is>
      </c>
      <c r="H1" s="6" t="inlineStr">
        <is>
          <t>Decisión / feedback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Pablo Esteban de Francisco</dc:creator>
  <dcterms:created xmlns:dcterms="http://purl.org/dc/terms/" xmlns:xsi="http://www.w3.org/2001/XMLSchema-instance" xsi:type="dcterms:W3CDTF">2026-10-21T00:00:00Z</dcterms:created>
  <dcterms:modified xmlns:dcterms="http://purl.org/dc/terms/" xmlns:xsi="http://www.w3.org/2001/XMLSchema-instance" xsi:type="dcterms:W3CDTF">2026-10-22T03:16:46Z</dcterms:modified>
  <cp:lastModifiedBy>Unknown</cp:lastModifiedBy>
</cp:coreProperties>
</file>