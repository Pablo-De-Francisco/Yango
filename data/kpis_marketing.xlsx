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atos_crudos" state="visible" r:id="rId5"/>
    <sheet sheetId="3" name="kpis" state="visible" r:id="rId6"/>
    <sheet sheetId="4" name="diccionario" state="visible" r:id="rId7"/>
    <sheet sheetId="5" name="presupuesto" state="visible" r:id="rId8"/>
    <sheet sheetId="6" name="log_ia" state="visible" r:id="rId9"/>
  </sheets>
  <calcPr calcId="171027"/>
</workbook>
</file>

<file path=xl/sharedStrings.xml><?xml version="1.0" encoding="utf-8"?>
<sst xmlns="http://schemas.openxmlformats.org/spreadsheetml/2006/main" count="111" uniqueCount="74">
  <si>
    <t>COPILOTO DE MARKETING IA · YANGO — Excel fuente del prototipo</t>
  </si>
  <si>
    <t>Este archivo es la ÚNICA fuente de datos del prototipo. El prototipo lee las pestañas por su nombre y las columnas por su encabezado.</t>
  </si>
  <si>
    <t/>
  </si>
  <si>
    <t>CÓMO ACTUALIZARLO</t>
  </si>
  <si>
    <t>1. datos_crudos: agrega una fila por canal y semana (Semana, Fecha inicio, Canal, Inversión, Impresiones, Clics, Conversiones, Ingresos atribuidos).</t>
  </si>
  <si>
    <t xml:space="preserve">   Puedes agregar canales nuevos (p. ej. "TikTok Ads") o semanas nuevas: el prototipo toma por defecto la semana más reciente.</t>
  </si>
  <si>
    <t>2. diccionario: define cada KPI (definición única, fórmula, dueño y meta). El asistente responde las definiciones desde aquí.</t>
  </si>
  <si>
    <t>3. presupuesto: presupuesto planificado por mes (AAAA-MM) y canal. Se usa para el plan vs. real del briefing.</t>
  </si>
  <si>
    <t>4. kpis: vista de control con fórmulas para la semana de la celda B1 (solo para personas; el prototipo recalcula todo desde datos_crudos).</t>
  </si>
  <si>
    <t>5. log_ia: el prototipo permite descargar el registro de briefings y preguntas; puedes pegarlo aquí para auditar calidad y adopción.</t>
  </si>
  <si>
    <t>CÓMO VERLO EN EL PROTOTIPO</t>
  </si>
  <si>
    <t>Opción A (inmediata): en el prototipo pulsa "Cargar mi Excel" y elige este archivo editado. Todo se recalcula al instante en tu navegador.</t>
  </si>
  <si>
    <t>Opción B (para todo el equipo): reemplaza el archivo data/kpis_marketing.xlsx en el repositorio de GitHub; Vercel vuelve a publicar el sitio con los nuevos datos.</t>
  </si>
  <si>
    <t>REGLAS</t>
  </si>
  <si>
    <t>• Cero datos personales: solo cifras agregadas por canal (sin nombres, correos ni teléfonos de clientes).</t>
  </si>
  <si>
    <t>• No cambies los nombres de las pestañas ni de los encabezados. Los montos van en USD, sin símbolos.</t>
  </si>
  <si>
    <t>• Datos ilustrativos para el prototipo académico (Innovación Tech III).</t>
  </si>
  <si>
    <t>Semana</t>
  </si>
  <si>
    <t>Fecha inicio</t>
  </si>
  <si>
    <t>Canal</t>
  </si>
  <si>
    <t>Inversión (USD)</t>
  </si>
  <si>
    <t>Impresiones</t>
  </si>
  <si>
    <t>Clics</t>
  </si>
  <si>
    <t>Conversiones</t>
  </si>
  <si>
    <t>Ingresos atribuidos (USD)</t>
  </si>
  <si>
    <t>Google Ads</t>
  </si>
  <si>
    <t>Meta Ads</t>
  </si>
  <si>
    <t>Yango Ads</t>
  </si>
  <si>
    <t>← cambia este número para ver otra semana (o deja la fórmula para la más reciente)</t>
  </si>
  <si>
    <t>Ingresos (USD)</t>
  </si>
  <si>
    <t>ROAS</t>
  </si>
  <si>
    <t>CPA (USD)</t>
  </si>
  <si>
    <t>CTR</t>
  </si>
  <si>
    <t>Total</t>
  </si>
  <si>
    <t>Vista de control para personas. Si agregas un canal nuevo, añade una fila aquí; el prototipo lo detecta solo desde datos_crudos.</t>
  </si>
  <si>
    <t>KPI</t>
  </si>
  <si>
    <t>Definición única</t>
  </si>
  <si>
    <t>Fórmula</t>
  </si>
  <si>
    <t>Dueño</t>
  </si>
  <si>
    <t>Meta</t>
  </si>
  <si>
    <t>Retorno de la inversión publicitaria: ingresos atribuidos por cada dólar invertido.</t>
  </si>
  <si>
    <t>Ingresos atribuidos ÷ inversión</t>
  </si>
  <si>
    <t>Performance</t>
  </si>
  <si>
    <t>≥ 3,0x</t>
  </si>
  <si>
    <t>CPA</t>
  </si>
  <si>
    <t>Costo por adquisición: cuánto cuesta cada conversión.</t>
  </si>
  <si>
    <t>Inversión ÷ conversiones</t>
  </si>
  <si>
    <t>≤ $8</t>
  </si>
  <si>
    <t>Conversión</t>
  </si>
  <si>
    <t>Pedido o viaje completado atribuido a una campaña.</t>
  </si>
  <si>
    <t>Conteo de pedidos o viajes completados</t>
  </si>
  <si>
    <t>Analista</t>
  </si>
  <si>
    <t>—</t>
  </si>
  <si>
    <t>Porcentaje de impresiones que generan un clic.</t>
  </si>
  <si>
    <t>Clics ÷ impresiones</t>
  </si>
  <si>
    <t>≥ 2,5%</t>
  </si>
  <si>
    <t>Inversión</t>
  </si>
  <si>
    <t>Gasto en medios pagado a la plataforma en la semana (USD, sin impuestos).</t>
  </si>
  <si>
    <t>Suma del gasto reportado por la plataforma</t>
  </si>
  <si>
    <t>Según presupuesto</t>
  </si>
  <si>
    <t>Ingresos atribuidos</t>
  </si>
  <si>
    <t>Ingresos de los pedidos o viajes atribuidos a campañas según el modelo de la plataforma.</t>
  </si>
  <si>
    <t>Suma de ingresos atribuidos</t>
  </si>
  <si>
    <t>Mes</t>
  </si>
  <si>
    <t>Presupuesto (USD)</t>
  </si>
  <si>
    <t>2026-09</t>
  </si>
  <si>
    <t>2026-10</t>
  </si>
  <si>
    <t>Fecha</t>
  </si>
  <si>
    <t>Tipo</t>
  </si>
  <si>
    <t>Pregunta / briefing</t>
  </si>
  <si>
    <t>Respuesta</t>
  </si>
  <si>
    <t>Fuente</t>
  </si>
  <si>
    <t>Revisado por</t>
  </si>
  <si>
    <t>Decisión /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</si>
</sst>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"/>
    <numFmt numFmtId="165" formatCode="&quot;$&quot;#,##0"/>
    <numFmt numFmtId="166" formatCode="0.00&quot;x&quot;"/>
    <numFmt numFmtId="167" formatCode="&quot;$&quot;#,##0.00"/>
  </numFmts>
  <fonts count="5" x14ac:knownFonts="1">
    <font>
      <color theme="1"/>
      <family val="2"/>
      <scheme val="minor"/>
      <sz val="11"/>
      <name val="Calibri"/>
    </font>
    <font>
      <b/>
      <color rgb="FFFF0000"/>
      <sz val="14"/>
    </font>
    <font>
      <b/>
    </font>
    <font>
      <b/>
      <color rgb="FFFFFFFF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2" fillId="3" borderId="0" xfId="0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166" fontId="2" fillId="3" borderId="0" xfId="0" applyNumberFormat="1" applyFont="1" applyFill="1"/>
    <xf numFmtId="167" fontId="2" fillId="3" borderId="0" xfId="0" applyNumberFormat="1" applyFont="1" applyFill="1"/>
    <xf numFmtId="10" fontId="2" fillId="3" borderId="0" xfId="0" applyNumberFormat="1" applyFont="1" applyFill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A1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s="2" customFormat="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2</v>
      </c>
    </row>
    <row r="12" spans="1:1" s="2" customFormat="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2</v>
      </c>
    </row>
    <row r="16" spans="1:1" s="2" customFormat="1" x14ac:dyDescent="0.25">
      <c r="A16" s="2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style="3" customWidth="1"/>
    <col min="3" max="3" width="16" customWidth="1"/>
    <col min="4" max="4" width="16" style="4" customWidth="1"/>
    <col min="5" max="5" width="14" style="5" customWidth="1"/>
    <col min="6" max="6" width="12" style="5" customWidth="1"/>
    <col min="7" max="7" width="14" style="5" customWidth="1"/>
    <col min="8" max="8" width="22" style="4" customWidth="1"/>
  </cols>
  <sheetData>
    <row r="1" ht="22" customHeight="1" spans="1:8" s="6" customFormat="1" x14ac:dyDescent="0.25">
      <c r="A1" s="6" t="s">
        <v>17</v>
      </c>
      <c r="B1" s="7" t="s">
        <v>18</v>
      </c>
      <c r="C1" s="6" t="s">
        <v>19</v>
      </c>
      <c r="D1" s="8" t="s">
        <v>20</v>
      </c>
      <c r="E1" s="9" t="s">
        <v>21</v>
      </c>
      <c r="F1" s="9" t="s">
        <v>22</v>
      </c>
      <c r="G1" s="9" t="s">
        <v>23</v>
      </c>
      <c r="H1" s="8" t="s">
        <v>24</v>
      </c>
    </row>
    <row r="2" spans="1:8" x14ac:dyDescent="0.25">
      <c r="A2">
        <v>39</v>
      </c>
      <c r="B2" s="3">
        <v>46286</v>
      </c>
      <c r="C2" t="s">
        <v>25</v>
      </c>
      <c r="D2" s="4">
        <v>165000</v>
      </c>
      <c r="E2" s="5">
        <v>2250000</v>
      </c>
      <c r="F2" s="5">
        <v>88000</v>
      </c>
      <c r="G2" s="5">
        <v>22800</v>
      </c>
      <c r="H2" s="4">
        <v>544500</v>
      </c>
    </row>
    <row r="3" spans="1:8" x14ac:dyDescent="0.25">
      <c r="A3">
        <v>39</v>
      </c>
      <c r="B3" s="3">
        <v>46286</v>
      </c>
      <c r="C3" t="s">
        <v>26</v>
      </c>
      <c r="D3" s="4">
        <v>128000</v>
      </c>
      <c r="E3" s="5">
        <v>2850000</v>
      </c>
      <c r="F3" s="5">
        <v>67500</v>
      </c>
      <c r="G3" s="5">
        <v>16900</v>
      </c>
      <c r="H3" s="4">
        <v>396800</v>
      </c>
    </row>
    <row r="4" spans="1:8" x14ac:dyDescent="0.25">
      <c r="A4">
        <v>39</v>
      </c>
      <c r="B4" s="3">
        <v>46286</v>
      </c>
      <c r="C4" t="s">
        <v>27</v>
      </c>
      <c r="D4" s="4">
        <v>82000</v>
      </c>
      <c r="E4" s="5">
        <v>1380000</v>
      </c>
      <c r="F4" s="5">
        <v>37000</v>
      </c>
      <c r="G4" s="5">
        <v>12100</v>
      </c>
      <c r="H4" s="4">
        <v>270600</v>
      </c>
    </row>
    <row r="5" spans="1:8" x14ac:dyDescent="0.25">
      <c r="A5">
        <v>40</v>
      </c>
      <c r="B5" s="3">
        <v>46293</v>
      </c>
      <c r="C5" t="s">
        <v>25</v>
      </c>
      <c r="D5" s="4">
        <v>170000</v>
      </c>
      <c r="E5" s="5">
        <v>2300000</v>
      </c>
      <c r="F5" s="5">
        <v>91000</v>
      </c>
      <c r="G5" s="5">
        <v>23400</v>
      </c>
      <c r="H5" s="4">
        <v>561000</v>
      </c>
    </row>
    <row r="6" spans="1:8" x14ac:dyDescent="0.25">
      <c r="A6">
        <v>40</v>
      </c>
      <c r="B6" s="3">
        <v>46293</v>
      </c>
      <c r="C6" t="s">
        <v>26</v>
      </c>
      <c r="D6" s="4">
        <v>130000</v>
      </c>
      <c r="E6" s="5">
        <v>2900000</v>
      </c>
      <c r="F6" s="5">
        <v>69000</v>
      </c>
      <c r="G6" s="5">
        <v>17200</v>
      </c>
      <c r="H6" s="4">
        <v>403000</v>
      </c>
    </row>
    <row r="7" spans="1:8" x14ac:dyDescent="0.25">
      <c r="A7">
        <v>40</v>
      </c>
      <c r="B7" s="3">
        <v>46293</v>
      </c>
      <c r="C7" t="s">
        <v>27</v>
      </c>
      <c r="D7" s="4">
        <v>85000</v>
      </c>
      <c r="E7" s="5">
        <v>1420000</v>
      </c>
      <c r="F7" s="5">
        <v>38500</v>
      </c>
      <c r="G7" s="5">
        <v>12500</v>
      </c>
      <c r="H7" s="4">
        <v>280500</v>
      </c>
    </row>
    <row r="8" spans="1:8" x14ac:dyDescent="0.25">
      <c r="A8">
        <v>41</v>
      </c>
      <c r="B8" s="3">
        <v>46300</v>
      </c>
      <c r="C8" t="s">
        <v>25</v>
      </c>
      <c r="D8" s="4">
        <v>175000</v>
      </c>
      <c r="E8" s="5">
        <v>2350000</v>
      </c>
      <c r="F8" s="5">
        <v>93500</v>
      </c>
      <c r="G8" s="5">
        <v>24000</v>
      </c>
      <c r="H8" s="4">
        <v>595000</v>
      </c>
    </row>
    <row r="9" spans="1:8" x14ac:dyDescent="0.25">
      <c r="A9">
        <v>41</v>
      </c>
      <c r="B9" s="3">
        <v>46300</v>
      </c>
      <c r="C9" t="s">
        <v>26</v>
      </c>
      <c r="D9" s="4">
        <v>135000</v>
      </c>
      <c r="E9" s="5">
        <v>2950000</v>
      </c>
      <c r="F9" s="5">
        <v>71000</v>
      </c>
      <c r="G9" s="5">
        <v>17600</v>
      </c>
      <c r="H9" s="4">
        <v>418500</v>
      </c>
    </row>
    <row r="10" spans="1:8" x14ac:dyDescent="0.25">
      <c r="A10">
        <v>41</v>
      </c>
      <c r="B10" s="3">
        <v>46300</v>
      </c>
      <c r="C10" t="s">
        <v>27</v>
      </c>
      <c r="D10" s="4">
        <v>88000</v>
      </c>
      <c r="E10" s="5">
        <v>1480000</v>
      </c>
      <c r="F10" s="5">
        <v>40000</v>
      </c>
      <c r="G10" s="5">
        <v>12900</v>
      </c>
      <c r="H10" s="4">
        <v>299200</v>
      </c>
    </row>
    <row r="11" spans="1:8" x14ac:dyDescent="0.25">
      <c r="A11">
        <v>42</v>
      </c>
      <c r="B11" s="3">
        <v>46307</v>
      </c>
      <c r="C11" t="s">
        <v>25</v>
      </c>
      <c r="D11" s="4">
        <v>180000</v>
      </c>
      <c r="E11" s="5">
        <v>2400000</v>
      </c>
      <c r="F11" s="5">
        <v>96000</v>
      </c>
      <c r="G11" s="5">
        <v>26100</v>
      </c>
      <c r="H11" s="4">
        <v>612000</v>
      </c>
    </row>
    <row r="12" spans="1:8" x14ac:dyDescent="0.25">
      <c r="A12">
        <v>42</v>
      </c>
      <c r="B12" s="3">
        <v>46307</v>
      </c>
      <c r="C12" t="s">
        <v>26</v>
      </c>
      <c r="D12" s="4">
        <v>142000</v>
      </c>
      <c r="E12" s="5">
        <v>3100000</v>
      </c>
      <c r="F12" s="5">
        <v>74000</v>
      </c>
      <c r="G12" s="5">
        <v>18900</v>
      </c>
      <c r="H12" s="4">
        <v>369200</v>
      </c>
    </row>
    <row r="13" spans="1:8" x14ac:dyDescent="0.25">
      <c r="A13">
        <v>42</v>
      </c>
      <c r="B13" s="3">
        <v>46307</v>
      </c>
      <c r="C13" t="s">
        <v>27</v>
      </c>
      <c r="D13" s="4">
        <v>90000</v>
      </c>
      <c r="E13" s="5">
        <v>1500000</v>
      </c>
      <c r="F13" s="5">
        <v>41000</v>
      </c>
      <c r="G13" s="5">
        <v>13300</v>
      </c>
      <c r="H13" s="4">
        <v>297000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9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16" customWidth="1"/>
    <col min="5" max="5" width="10" customWidth="1"/>
    <col min="6" max="6" width="12" customWidth="1"/>
    <col min="7" max="7" width="10" customWidth="1"/>
  </cols>
  <sheetData>
    <row r="1" spans="1:3" x14ac:dyDescent="0.25">
      <c r="A1" s="2" t="s">
        <v>17</v>
      </c>
      <c r="B1">
        <f>MAX(datos_crudos!A:A)</f>
        <v>42</v>
      </c>
      <c r="C1" s="10" t="s">
        <v>28</v>
      </c>
    </row>
    <row r="3" spans="1:7" s="11" customFormat="1" x14ac:dyDescent="0.25">
      <c r="A3" s="12" t="s">
        <v>19</v>
      </c>
      <c r="B3" s="12" t="s">
        <v>20</v>
      </c>
      <c r="C3" s="12" t="s">
        <v>23</v>
      </c>
      <c r="D3" s="12" t="s">
        <v>29</v>
      </c>
      <c r="E3" s="12" t="s">
        <v>30</v>
      </c>
      <c r="F3" s="12" t="s">
        <v>31</v>
      </c>
      <c r="G3" s="12" t="s">
        <v>32</v>
      </c>
    </row>
    <row r="4" spans="1:7" x14ac:dyDescent="0.25">
      <c r="A4" t="s">
        <v>25</v>
      </c>
      <c r="B4" s="4">
        <f>SUMIFS(datos_crudos!D:D,datos_crudos!$A:$A,$B$1,datos_crudos!$C:$C,$A4)</f>
        <v>180000</v>
      </c>
      <c r="C4" s="5">
        <f>SUMIFS(datos_crudos!G:G,datos_crudos!$A:$A,$B$1,datos_crudos!$C:$C,$A4)</f>
        <v>26100</v>
      </c>
      <c r="D4" s="4">
        <f>SUMIFS(datos_crudos!H:H,datos_crudos!$A:$A,$B$1,datos_crudos!$C:$C,$A4)</f>
        <v>612000</v>
      </c>
      <c r="E4" s="13">
        <f>IFERROR(D4/B4,0)</f>
        <v>3.4</v>
      </c>
      <c r="F4" s="14">
        <f>IFERROR(B4/C4,0)</f>
        <v>6.896551724137931</v>
      </c>
      <c r="G4" s="15">
        <f>IFERROR(SUMIFS(datos_crudos!F:F,datos_crudos!$A:$A,$B$1,datos_crudos!$C:$C,$A4)/SUMIFS(datos_crudos!E:E,datos_crudos!$A:$A,$B$1,datos_crudos!$C:$C,$A4),0)</f>
        <v>0.04</v>
      </c>
    </row>
    <row r="5" spans="1:7" x14ac:dyDescent="0.25">
      <c r="A5" t="s">
        <v>26</v>
      </c>
      <c r="B5" s="4">
        <f>SUMIFS(datos_crudos!D:D,datos_crudos!$A:$A,$B$1,datos_crudos!$C:$C,$A5)</f>
        <v>142000</v>
      </c>
      <c r="C5" s="5">
        <f>SUMIFS(datos_crudos!G:G,datos_crudos!$A:$A,$B$1,datos_crudos!$C:$C,$A5)</f>
        <v>18900</v>
      </c>
      <c r="D5" s="4">
        <f>SUMIFS(datos_crudos!H:H,datos_crudos!$A:$A,$B$1,datos_crudos!$C:$C,$A5)</f>
        <v>369200</v>
      </c>
      <c r="E5" s="13">
        <f>IFERROR(D5/B5,0)</f>
        <v>2.6</v>
      </c>
      <c r="F5" s="14">
        <f>IFERROR(B5/C5,0)</f>
        <v>7.5132275132275135</v>
      </c>
      <c r="G5" s="15">
        <f>IFERROR(SUMIFS(datos_crudos!F:F,datos_crudos!$A:$A,$B$1,datos_crudos!$C:$C,$A5)/SUMIFS(datos_crudos!E:E,datos_crudos!$A:$A,$B$1,datos_crudos!$C:$C,$A5),0)</f>
        <v>0.023870967741935485</v>
      </c>
    </row>
    <row r="6" spans="1:7" x14ac:dyDescent="0.25">
      <c r="A6" t="s">
        <v>27</v>
      </c>
      <c r="B6" s="4">
        <f>SUMIFS(datos_crudos!D:D,datos_crudos!$A:$A,$B$1,datos_crudos!$C:$C,$A6)</f>
        <v>90000</v>
      </c>
      <c r="C6" s="5">
        <f>SUMIFS(datos_crudos!G:G,datos_crudos!$A:$A,$B$1,datos_crudos!$C:$C,$A6)</f>
        <v>13300</v>
      </c>
      <c r="D6" s="4">
        <f>SUMIFS(datos_crudos!H:H,datos_crudos!$A:$A,$B$1,datos_crudos!$C:$C,$A6)</f>
        <v>297000</v>
      </c>
      <c r="E6" s="13">
        <f>IFERROR(D6/B6,0)</f>
        <v>3.3</v>
      </c>
      <c r="F6" s="14">
        <f>IFERROR(B6/C6,0)</f>
        <v>6.7669172932330826</v>
      </c>
      <c r="G6" s="15">
        <f>IFERROR(SUMIFS(datos_crudos!F:F,datos_crudos!$A:$A,$B$1,datos_crudos!$C:$C,$A6)/SUMIFS(datos_crudos!E:E,datos_crudos!$A:$A,$B$1,datos_crudos!$C:$C,$A6),0)</f>
        <v>0.027333333333333334</v>
      </c>
    </row>
    <row r="7" spans="1:7" s="2" customFormat="1" x14ac:dyDescent="0.25">
      <c r="A7" s="16" t="s">
        <v>33</v>
      </c>
      <c r="B7" s="17">
        <f>SUM(B4:B6)</f>
        <v>412000</v>
      </c>
      <c r="C7" s="18">
        <f>SUM(C4:C6)</f>
        <v>58300</v>
      </c>
      <c r="D7" s="17">
        <f>SUM(D4:D6)</f>
        <v>1278200</v>
      </c>
      <c r="E7" s="19">
        <f>IFERROR(D7/B7,0)</f>
        <v>3.1024271844660194</v>
      </c>
      <c r="F7" s="20">
        <f>IFERROR(B7/C7,0)</f>
        <v>7.066895368782161</v>
      </c>
      <c r="G7" s="21">
        <f>IFERROR(SUMIFS(datos_crudos!F:F,datos_crudos!A:A,B1)/SUMIFS(datos_crudos!E:E,datos_crudos!A:A,B1),0)</f>
        <v>0.03014285714285714</v>
      </c>
    </row>
    <row r="9" spans="1:1" x14ac:dyDescent="0.25">
      <c r="A9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34" customWidth="1"/>
    <col min="4" max="4" width="16" customWidth="1"/>
    <col min="5" max="5" width="14" customWidth="1"/>
  </cols>
  <sheetData>
    <row r="1" ht="22" customHeight="1" spans="1:5" s="22" customFormat="1" x14ac:dyDescent="0.25">
      <c r="A1" s="22" t="s">
        <v>35</v>
      </c>
      <c r="B1" s="22" t="s">
        <v>36</v>
      </c>
      <c r="C1" s="22" t="s">
        <v>37</v>
      </c>
      <c r="D1" s="22" t="s">
        <v>38</v>
      </c>
      <c r="E1" s="22" t="s">
        <v>39</v>
      </c>
    </row>
    <row r="2" spans="1:5" s="23" customFormat="1" x14ac:dyDescent="0.25">
      <c r="A2" s="23" t="s">
        <v>30</v>
      </c>
      <c r="B2" s="23" t="s">
        <v>40</v>
      </c>
      <c r="C2" s="23" t="s">
        <v>41</v>
      </c>
      <c r="D2" s="23" t="s">
        <v>42</v>
      </c>
      <c r="E2" s="23" t="s">
        <v>43</v>
      </c>
    </row>
    <row r="3" spans="1:5" s="23" customFormat="1" x14ac:dyDescent="0.25">
      <c r="A3" s="23" t="s">
        <v>44</v>
      </c>
      <c r="B3" s="23" t="s">
        <v>45</v>
      </c>
      <c r="C3" s="23" t="s">
        <v>46</v>
      </c>
      <c r="D3" s="23" t="s">
        <v>42</v>
      </c>
      <c r="E3" s="23" t="s">
        <v>47</v>
      </c>
    </row>
    <row r="4" spans="1:5" s="23" customFormat="1" x14ac:dyDescent="0.25">
      <c r="A4" s="23" t="s">
        <v>48</v>
      </c>
      <c r="B4" s="23" t="s">
        <v>49</v>
      </c>
      <c r="C4" s="23" t="s">
        <v>50</v>
      </c>
      <c r="D4" s="23" t="s">
        <v>51</v>
      </c>
      <c r="E4" s="23" t="s">
        <v>52</v>
      </c>
    </row>
    <row r="5" spans="1:5" s="23" customFormat="1" x14ac:dyDescent="0.25">
      <c r="A5" s="23" t="s">
        <v>32</v>
      </c>
      <c r="B5" s="23" t="s">
        <v>53</v>
      </c>
      <c r="C5" s="23" t="s">
        <v>54</v>
      </c>
      <c r="D5" s="23" t="s">
        <v>42</v>
      </c>
      <c r="E5" s="23" t="s">
        <v>55</v>
      </c>
    </row>
    <row r="6" spans="1:5" s="23" customFormat="1" x14ac:dyDescent="0.25">
      <c r="A6" s="23" t="s">
        <v>56</v>
      </c>
      <c r="B6" s="23" t="s">
        <v>57</v>
      </c>
      <c r="C6" s="23" t="s">
        <v>58</v>
      </c>
      <c r="D6" s="23" t="s">
        <v>51</v>
      </c>
      <c r="E6" s="23" t="s">
        <v>59</v>
      </c>
    </row>
    <row r="7" spans="1:5" s="23" customFormat="1" x14ac:dyDescent="0.25">
      <c r="A7" s="23" t="s">
        <v>60</v>
      </c>
      <c r="B7" s="23" t="s">
        <v>61</v>
      </c>
      <c r="C7" s="23" t="s">
        <v>62</v>
      </c>
      <c r="D7" s="23" t="s">
        <v>51</v>
      </c>
      <c r="E7" s="2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8" style="4" customWidth="1"/>
  </cols>
  <sheetData>
    <row r="1" ht="22" customHeight="1" spans="1:3" s="6" customFormat="1" x14ac:dyDescent="0.25">
      <c r="A1" s="6" t="s">
        <v>63</v>
      </c>
      <c r="B1" s="6" t="s">
        <v>19</v>
      </c>
      <c r="C1" s="8" t="s">
        <v>64</v>
      </c>
    </row>
    <row r="2" spans="1:3" x14ac:dyDescent="0.25">
      <c r="A2" t="s">
        <v>65</v>
      </c>
      <c r="B2" t="s">
        <v>25</v>
      </c>
      <c r="C2" s="4">
        <v>720000</v>
      </c>
    </row>
    <row r="3" spans="1:3" x14ac:dyDescent="0.25">
      <c r="A3" t="s">
        <v>65</v>
      </c>
      <c r="B3" t="s">
        <v>26</v>
      </c>
      <c r="C3" s="4">
        <v>560000</v>
      </c>
    </row>
    <row r="4" spans="1:3" x14ac:dyDescent="0.25">
      <c r="A4" t="s">
        <v>65</v>
      </c>
      <c r="B4" t="s">
        <v>27</v>
      </c>
      <c r="C4" s="4">
        <v>350000</v>
      </c>
    </row>
    <row r="5" spans="1:3" x14ac:dyDescent="0.25">
      <c r="A5" t="s">
        <v>66</v>
      </c>
      <c r="B5" t="s">
        <v>25</v>
      </c>
      <c r="C5" s="4">
        <v>760000</v>
      </c>
    </row>
    <row r="6" spans="1:3" x14ac:dyDescent="0.25">
      <c r="A6" t="s">
        <v>66</v>
      </c>
      <c r="B6" t="s">
        <v>26</v>
      </c>
      <c r="C6" s="4">
        <v>600000</v>
      </c>
    </row>
    <row r="7" spans="1:3" x14ac:dyDescent="0.25">
      <c r="A7" t="s">
        <v>66</v>
      </c>
      <c r="B7" t="s">
        <v>27</v>
      </c>
      <c r="C7" s="4">
        <v>380000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4" max="4" width="50" customWidth="1"/>
    <col min="5" max="5" width="60" customWidth="1"/>
    <col min="6" max="6" width="24" customWidth="1"/>
    <col min="7" max="7" width="18" customWidth="1"/>
    <col min="8" max="8" width="30" customWidth="1"/>
  </cols>
  <sheetData>
    <row r="1" ht="22" customHeight="1" spans="1:8" s="6" customFormat="1" x14ac:dyDescent="0.25">
      <c r="A1" s="6" t="s">
        <v>67</v>
      </c>
      <c r="B1" s="6" t="s">
        <v>68</v>
      </c>
      <c r="C1" s="6" t="s">
        <v>17</v>
      </c>
      <c r="D1" s="6" t="s">
        <v>69</v>
      </c>
      <c r="E1" s="6" t="s">
        <v>70</v>
      </c>
      <c r="F1" s="6" t="s">
        <v>71</v>
      </c>
      <c r="G1" s="6" t="s">
        <v>72</v>
      </c>
      <c r="H1" s="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datos_crudos</vt:lpstr>
      <vt:lpstr>kpis</vt:lpstr>
      <vt:lpstr>diccionario</vt:lpstr>
      <vt:lpstr>presupuesto</vt:lpstr>
      <vt:lpstr>log_ia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Esteban de Francisco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2026-10-21T22:37:03Z</dcterms:modified>
</cp:coreProperties>
</file>